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e1ddb1878bf0608/Desktop/Mutual_Fund_Analytics/"/>
    </mc:Choice>
  </mc:AlternateContent>
  <xr:revisionPtr revIDLastSave="2" documentId="11_36F1E38596EA9023449B9045A5D9AC7D41DF258F" xr6:coauthVersionLast="47" xr6:coauthVersionMax="47" xr10:uidLastSave="{43987FE1-9EA4-4C48-900B-EA5FA94523B7}"/>
  <bookViews>
    <workbookView xWindow="-110" yWindow="-110" windowWidth="19420" windowHeight="10300" firstSheet="1" activeTab="2" xr2:uid="{00000000-000D-0000-FFFF-FFFF00000000}"/>
  </bookViews>
  <sheets>
    <sheet name="Raw Data" sheetId="1" r:id="rId1"/>
    <sheet name="Analysis" sheetId="2" r:id="rId2"/>
    <sheet name="Dashboard" sheetId="3" r:id="rId3"/>
    <sheet name="Read Me" sheetId="4" r:id="rId4"/>
  </sheets>
  <definedNames>
    <definedName name="_xlnm._FilterDatabase" localSheetId="0" hidden="1">'Raw Data'!$A$1:$I$61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" i="2" l="1"/>
  <c r="H21" i="2"/>
  <c r="H22" i="2"/>
  <c r="H23" i="2"/>
  <c r="H24" i="2"/>
  <c r="H25" i="2"/>
  <c r="H26" i="2"/>
  <c r="H19" i="2"/>
  <c r="E20" i="2"/>
  <c r="E21" i="2"/>
  <c r="E22" i="2"/>
  <c r="E19" i="2"/>
  <c r="B6" i="3"/>
  <c r="F6" i="3"/>
  <c r="D6" i="3"/>
  <c r="B21" i="2"/>
  <c r="B20" i="2"/>
  <c r="B19" i="2"/>
  <c r="B15" i="2"/>
  <c r="B14" i="2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B13" i="2" s="1"/>
  <c r="I6" i="1"/>
  <c r="I5" i="1"/>
  <c r="I4" i="1"/>
  <c r="I3" i="1"/>
  <c r="I2" i="1"/>
</calcChain>
</file>

<file path=xl/sharedStrings.xml><?xml version="1.0" encoding="utf-8"?>
<sst xmlns="http://schemas.openxmlformats.org/spreadsheetml/2006/main" count="356" uniqueCount="112">
  <si>
    <t>Order ID</t>
  </si>
  <si>
    <t>Order Date</t>
  </si>
  <si>
    <t>Region</t>
  </si>
  <si>
    <t>Salesperson</t>
  </si>
  <si>
    <t>Product</t>
  </si>
  <si>
    <t>Category</t>
  </si>
  <si>
    <t>Units Sold</t>
  </si>
  <si>
    <t>Unit Price</t>
  </si>
  <si>
    <t>Revenue</t>
  </si>
  <si>
    <t>ORD001</t>
  </si>
  <si>
    <t>South</t>
  </si>
  <si>
    <t>Priya</t>
  </si>
  <si>
    <t>Mouse</t>
  </si>
  <si>
    <t>Accessories</t>
  </si>
  <si>
    <t>ORD002</t>
  </si>
  <si>
    <t>Sneha</t>
  </si>
  <si>
    <t>Headphones</t>
  </si>
  <si>
    <t>Electronics</t>
  </si>
  <si>
    <t>ORD003</t>
  </si>
  <si>
    <t>Ananya</t>
  </si>
  <si>
    <t>ORD004</t>
  </si>
  <si>
    <t>ORD005</t>
  </si>
  <si>
    <t>West</t>
  </si>
  <si>
    <t>Monitor</t>
  </si>
  <si>
    <t>ORD006</t>
  </si>
  <si>
    <t>ORD007</t>
  </si>
  <si>
    <t>East</t>
  </si>
  <si>
    <t>ORD008</t>
  </si>
  <si>
    <t>ORD009</t>
  </si>
  <si>
    <t>Arjun</t>
  </si>
  <si>
    <t>ORD010</t>
  </si>
  <si>
    <t>North</t>
  </si>
  <si>
    <t>Laptop</t>
  </si>
  <si>
    <t>ORD011</t>
  </si>
  <si>
    <t>Rahul</t>
  </si>
  <si>
    <t>ORD012</t>
  </si>
  <si>
    <t>Keyboard</t>
  </si>
  <si>
    <t>ORD013</t>
  </si>
  <si>
    <t>ORD014</t>
  </si>
  <si>
    <t>Desk</t>
  </si>
  <si>
    <t>Furniture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</si>
  <si>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</si>
  <si>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</si>
  <si>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</si>
  <si>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</si>
  <si>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</si>
  <si>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</si>
  <si>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</si>
  <si>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</si>
  <si>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</si>
  <si>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</si>
  <si>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</si>
  <si>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</si>
  <si>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Office Chair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</si>
  <si>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</si>
  <si>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</si>
  <si>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</si>
  <si>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</si>
  <si>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</si>
  <si>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</si>
  <si>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</si>
  <si>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</si>
  <si>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</si>
  <si>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</si>
  <si>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</si>
  <si>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</si>
  <si>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</si>
  <si>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</si>
  <si>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</si>
  <si>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</si>
  <si>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</si>
  <si>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USB Drive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</si>
  <si>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</si>
  <si>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</si>
  <si>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</si>
  <si>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</si>
  <si>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</si>
  <si>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</si>
  <si>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</si>
  <si>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</si>
  <si>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</si>
  <si>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</si>
  <si>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</si>
  <si>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</si>
  <si>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</si>
  <si>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</si>
  <si>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</si>
  <si>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</si>
  <si>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</si>
  <si>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WEEK 1 SALES DASHBOARD — ANALYSIS</t>
  </si>
  <si>
    <t>Build these summaries here using PivotTables or formulas:</t>
  </si>
  <si>
    <t>1. Total Revenue</t>
  </si>
  <si>
    <t>2. Total Orders</t>
  </si>
  <si>
    <t>3. Total Units Sold</t>
  </si>
  <si>
    <t>4. Revenue by Product</t>
  </si>
  <si>
    <t>5. Revenue by Month</t>
  </si>
  <si>
    <t>6. Revenue by Region</t>
  </si>
  <si>
    <t>Suggested formulas (adjust ranges if needed):</t>
  </si>
  <si>
    <t>Total Revenue</t>
  </si>
  <si>
    <t>Total Orders</t>
  </si>
  <si>
    <t>Total Units Sold</t>
  </si>
  <si>
    <t>SALES PERFORMANCE DASHBOARD</t>
  </si>
  <si>
    <t>Your task: add KPI cards and charts here after building summaries on the Analysis sheet.</t>
  </si>
  <si>
    <t>Suggested KPIs:</t>
  </si>
  <si>
    <t>How to use this starter workbook</t>
  </si>
  <si>
    <t>1. Raw Data contains 60 sample sales orders.</t>
  </si>
  <si>
    <t>2. Revenue is calculated as Units Sold × Unit Price.</t>
  </si>
  <si>
    <t>3. Use the Analysis sheet to calculate KPIs and make summaries.</t>
  </si>
  <si>
    <t>4. Use Insert &gt; PivotTable to summarize Revenue by Product, Month, or Region.</t>
  </si>
  <si>
    <t>5. Use Insert &gt; Chart to make charts from your summaries.</t>
  </si>
  <si>
    <t>6. Put your final charts and KPI cards on the Dashboard sheet.</t>
  </si>
  <si>
    <t>7. This is fictional sample data for practice, not real business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</si>
</sst>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\-mmm\-yyyy"/>
    <numFmt numFmtId="166" formatCode="&quot;₹&quot;#,##0.00"/>
    <numFmt numFmtId="171" formatCode="&quot;₹&quot;\ #,##0.00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1"/>
      <name val="Calibri"/>
    </font>
    <font>
      <b/>
      <sz val="18"/>
      <color rgb="FFFFFFFF"/>
      <name val="Calibri"/>
    </font>
    <font>
      <b/>
      <sz val="16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3" fillId="3" borderId="0" xfId="0" applyFont="1" applyFill="1" applyAlignment="1">
      <alignment horizontal="center"/>
    </xf>
    <xf numFmtId="0" fontId="5" fillId="0" borderId="0" xfId="0" applyFont="1"/>
    <xf numFmtId="0" fontId="2" fillId="2" borderId="0" xfId="0" applyFont="1" applyFill="1"/>
    <xf numFmtId="0" fontId="0" fillId="0" borderId="0" xfId="0"/>
    <xf numFmtId="0" fontId="0" fillId="0" borderId="0" xfId="0" applyAlignment="1">
      <alignment wrapText="1"/>
    </xf>
    <xf numFmtId="0" fontId="6" fillId="0" borderId="0" xfId="0" applyFont="1"/>
    <xf numFmtId="0" fontId="0" fillId="0" borderId="0" xfId="0" applyAlignment="1">
      <alignment vertical="center" wrapText="1"/>
    </xf>
    <xf numFmtId="171" fontId="0" fillId="0" borderId="0" xfId="0" applyNumberFormat="1"/>
    <xf numFmtId="0" fontId="7" fillId="2" borderId="0" xfId="0" applyFont="1" applyFill="1" applyAlignment="1">
      <alignment horizontal="center"/>
    </xf>
    <xf numFmtId="0" fontId="4" fillId="2" borderId="0" xfId="0" applyFont="1" applyFill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Analysis!$B$18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Analysis!$A$19:$A$21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Analysis!$B$19:$B$21</c:f>
              <c:numCache>
                <c:formatCode>General</c:formatCode>
                <c:ptCount val="3"/>
                <c:pt idx="0">
                  <c:v>84700</c:v>
                </c:pt>
                <c:pt idx="1">
                  <c:v>2614000</c:v>
                </c:pt>
                <c:pt idx="2">
                  <c:v>637500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FB-4F81-92B5-944AB0BCD2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26099519"/>
        <c:axId val="1906128495"/>
      </c:barChart>
      <c:catAx>
        <c:axId val="212609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128495"/>
        <c:crosses val="autoZero"/>
        <c:auto val="1"/>
        <c:lblAlgn val="ctr"/>
        <c:lblOffset val="100"/>
        <c:noMultiLvlLbl val="0"/>
      </c:catAx>
      <c:valAx>
        <c:axId val="190612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099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Revenue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Analysis!$E$18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Analysis!$D$19:$D$22</c:f>
              <c:strCache>
                <c:ptCount val="4"/>
                <c:pt idx="0">
                  <c:v>South</c:v>
                </c:pt>
                <c:pt idx="1">
                  <c:v>West</c:v>
                </c:pt>
                <c:pt idx="2">
                  <c:v>East</c:v>
                </c:pt>
                <c:pt idx="3">
                  <c:v>North</c:v>
                </c:pt>
              </c:strCache>
            </c:strRef>
          </c:cat>
          <c:val>
            <c:numRef>
              <c:f>Analysis!$E$19:$E$22</c:f>
              <c:numCache>
                <c:formatCode>General</c:formatCode>
                <c:ptCount val="4"/>
                <c:pt idx="0">
                  <c:v>641900</c:v>
                </c:pt>
                <c:pt idx="1">
                  <c:v>408400</c:v>
                </c:pt>
                <c:pt idx="2">
                  <c:v>1014900</c:v>
                </c:pt>
                <c:pt idx="3">
                  <c:v>1271000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0-4EFD-99FF-98043A4F13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90374175"/>
        <c:axId val="2116154767"/>
      </c:barChart>
      <c:catAx>
        <c:axId val="199037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154767"/>
        <c:crosses val="autoZero"/>
        <c:auto val="1"/>
        <c:lblAlgn val="ctr"/>
        <c:lblOffset val="100"/>
        <c:noMultiLvlLbl val="0"/>
      </c:catAx>
      <c:valAx>
        <c:axId val="211615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374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Sales Revenue by Product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Analysis!$H$18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Analysis!$G$19:$G$26</c:f>
              <c:strCache>
                <c:ptCount val="8"/>
                <c:pt idx="0">
                  <c:v>Mouse</c:v>
                </c:pt>
                <c:pt idx="1">
                  <c:v>Headphones</c:v>
                </c:pt>
                <c:pt idx="2">
                  <c:v>Monitor</c:v>
                </c:pt>
                <c:pt idx="3">
                  <c:v>Laptop</c:v>
                </c:pt>
                <c:pt idx="4">
                  <c:v>Keyboard</c:v>
                </c:pt>
                <c:pt idx="5">
                  <c:v>Desk</c:v>
                </c:pt>
                <c:pt idx="6">
                  <c:v>Office Chair</c:v>
                </c:pt>
                <c:pt idx="7">
                  <c:v>USB Drive</c:v>
                </c:pt>
              </c:strCache>
            </c:strRef>
          </c:cat>
          <c:val>
            <c:numRef>
              <c:f>Analysis!$H$19:$H$26</c:f>
              <c:numCache>
                <c:formatCode>General</c:formatCode>
                <c:ptCount val="8"/>
                <c:pt idx="0">
                  <c:v>51100</c:v>
                </c:pt>
                <c:pt idx="1">
                  <c:v>155000</c:v>
                </c:pt>
                <c:pt idx="2">
                  <c:v>204000</c:v>
                </c:pt>
                <c:pt idx="3">
                  <c:v>2255000</c:v>
                </c:pt>
                <c:pt idx="4">
                  <c:v>32400</c:v>
                </c:pt>
                <c:pt idx="5">
                  <c:v>476000</c:v>
                </c:pt>
                <c:pt idx="6">
                  <c:v>161500</c:v>
                </c:pt>
                <c:pt idx="7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CC-4E5F-8C53-DD9418BBCE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38945215"/>
        <c:axId val="2116136047"/>
      </c:barChart>
      <c:catAx>
        <c:axId val="213894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136047"/>
        <c:crosses val="autoZero"/>
        <c:auto val="1"/>
        <c:lblAlgn val="ctr"/>
        <c:lblOffset val="100"/>
        <c:noMultiLvlLbl val="0"/>
      </c:catAx>
      <c:valAx>
        <c:axId val="211613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94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3</xdr:col>
      <xdr:colOff>381000</xdr:colOff>
      <xdr:row>20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3EE43C-5A2E-40EA-9225-B40C801404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7</xdr:row>
      <xdr:rowOff>0</xdr:rowOff>
    </xdr:from>
    <xdr:to>
      <xdr:col>8</xdr:col>
      <xdr:colOff>558800</xdr:colOff>
      <xdr:row>20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A3CFD0-831C-4FC7-8B55-1F576AE3FF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3</xdr:col>
      <xdr:colOff>381000</xdr:colOff>
      <xdr:row>36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227934-77CF-44F3-803D-A2F4E32F85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opLeftCell="B1" workbookViewId="0">
      <pane ySplit="1" topLeftCell="A2" activePane="bottomLeft" state="frozen"/>
      <selection pane="bottomLeft" activeCell="E1" sqref="E1:E1048576"/>
    </sheetView>
  </sheetViews>
  <sheetFormatPr defaultRowHeight="14.5" x14ac:dyDescent="0.35"/>
  <cols>
    <col min="1" max="1" width="14" customWidth="1"/>
    <col min="2" max="2" width="16" customWidth="1"/>
    <col min="3" max="3" width="14" customWidth="1"/>
    <col min="4" max="4" width="16" customWidth="1"/>
    <col min="5" max="6" width="18" customWidth="1"/>
    <col min="7" max="7" width="13" customWidth="1"/>
    <col min="8" max="8" width="14" customWidth="1"/>
    <col min="9" max="9" width="16" customWidth="1"/>
  </cols>
  <sheetData>
    <row r="1" spans="1:9" x14ac:dyDescent="0.35">
      <c r="A1" s="1" t="s">
        <v>0</v>
      </c>
      <c r="B1" s="1" t="s">
        <v>1</v>
      </c>
      <c r="C1" s="1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s="2">
        <v>46080</v>
      </c>
      <c r="C2" t="s">
        <v>10</v>
      </c>
      <c r="D2" t="s">
        <v>11</v>
      </c>
      <c r="E2" t="s">
        <v>12</v>
      </c>
      <c r="F2" t="s">
        <v>13</v>
      </c>
      <c r="G2">
        <v>4</v>
      </c>
      <c r="H2" s="3">
        <v>700</v>
      </c>
      <c r="I2" s="3">
        <f t="shared" ref="I2:I33" si="0">G2*H2</f>
        <v>2800</v>
      </c>
    </row>
    <row r="3" spans="1:9" x14ac:dyDescent="0.35">
      <c r="A3" t="s">
        <v>14</v>
      </c>
      <c r="B3" s="2">
        <v>46094</v>
      </c>
      <c r="C3" t="s">
        <v>10</v>
      </c>
      <c r="D3" t="s">
        <v>15</v>
      </c>
      <c r="E3" t="s">
        <v>16</v>
      </c>
      <c r="F3" t="s">
        <v>17</v>
      </c>
      <c r="G3">
        <v>7</v>
      </c>
      <c r="H3" s="3">
        <v>2500</v>
      </c>
      <c r="I3" s="3">
        <f t="shared" si="0"/>
        <v>17500</v>
      </c>
    </row>
    <row r="4" spans="1:9" x14ac:dyDescent="0.35">
      <c r="A4" t="s">
        <v>18</v>
      </c>
      <c r="B4" s="2">
        <v>46039</v>
      </c>
      <c r="C4" t="s">
        <v>10</v>
      </c>
      <c r="D4" t="s">
        <v>19</v>
      </c>
      <c r="E4" t="s">
        <v>12</v>
      </c>
      <c r="F4" t="s">
        <v>13</v>
      </c>
      <c r="G4">
        <v>4</v>
      </c>
      <c r="H4" s="3">
        <v>700</v>
      </c>
      <c r="I4" s="3">
        <f t="shared" si="0"/>
        <v>2800</v>
      </c>
    </row>
    <row r="5" spans="1:9" x14ac:dyDescent="0.35">
      <c r="A5" t="s">
        <v>20</v>
      </c>
      <c r="B5" s="2">
        <v>46281</v>
      </c>
      <c r="C5" t="s">
        <v>10</v>
      </c>
      <c r="D5" t="s">
        <v>15</v>
      </c>
      <c r="E5" t="s">
        <v>12</v>
      </c>
      <c r="F5" t="s">
        <v>13</v>
      </c>
      <c r="G5">
        <v>7</v>
      </c>
      <c r="H5" s="3">
        <v>700</v>
      </c>
      <c r="I5" s="3">
        <f t="shared" si="0"/>
        <v>4900</v>
      </c>
    </row>
    <row r="6" spans="1:9" x14ac:dyDescent="0.35">
      <c r="A6" t="s">
        <v>21</v>
      </c>
      <c r="B6" s="2">
        <v>46135</v>
      </c>
      <c r="C6" t="s">
        <v>22</v>
      </c>
      <c r="D6" t="s">
        <v>15</v>
      </c>
      <c r="E6" t="s">
        <v>23</v>
      </c>
      <c r="F6" t="s">
        <v>17</v>
      </c>
      <c r="G6">
        <v>1</v>
      </c>
      <c r="H6" s="3">
        <v>12000</v>
      </c>
      <c r="I6" s="3">
        <f t="shared" si="0"/>
        <v>12000</v>
      </c>
    </row>
    <row r="7" spans="1:9" x14ac:dyDescent="0.35">
      <c r="A7" t="s">
        <v>24</v>
      </c>
      <c r="B7" s="2">
        <v>46104</v>
      </c>
      <c r="C7" t="s">
        <v>22</v>
      </c>
      <c r="D7" t="s">
        <v>11</v>
      </c>
      <c r="E7" t="s">
        <v>23</v>
      </c>
      <c r="F7" t="s">
        <v>17</v>
      </c>
      <c r="G7">
        <v>3</v>
      </c>
      <c r="H7" s="3">
        <v>12000</v>
      </c>
      <c r="I7" s="3">
        <f t="shared" si="0"/>
        <v>36000</v>
      </c>
    </row>
    <row r="8" spans="1:9" x14ac:dyDescent="0.35">
      <c r="A8" t="s">
        <v>25</v>
      </c>
      <c r="B8" s="2">
        <v>46133</v>
      </c>
      <c r="C8" t="s">
        <v>26</v>
      </c>
      <c r="D8" t="s">
        <v>19</v>
      </c>
      <c r="E8" t="s">
        <v>16</v>
      </c>
      <c r="F8" t="s">
        <v>17</v>
      </c>
      <c r="G8">
        <v>7</v>
      </c>
      <c r="H8" s="3">
        <v>2500</v>
      </c>
      <c r="I8" s="3">
        <f t="shared" si="0"/>
        <v>17500</v>
      </c>
    </row>
    <row r="9" spans="1:9" x14ac:dyDescent="0.35">
      <c r="A9" t="s">
        <v>27</v>
      </c>
      <c r="B9" s="2">
        <v>46072</v>
      </c>
      <c r="C9" t="s">
        <v>26</v>
      </c>
      <c r="D9" t="s">
        <v>11</v>
      </c>
      <c r="E9" t="s">
        <v>23</v>
      </c>
      <c r="F9" t="s">
        <v>17</v>
      </c>
      <c r="G9">
        <v>1</v>
      </c>
      <c r="H9" s="3">
        <v>12000</v>
      </c>
      <c r="I9" s="3">
        <f t="shared" si="0"/>
        <v>12000</v>
      </c>
    </row>
    <row r="10" spans="1:9" x14ac:dyDescent="0.35">
      <c r="A10" t="s">
        <v>28</v>
      </c>
      <c r="B10" s="2">
        <v>46258</v>
      </c>
      <c r="C10" t="s">
        <v>10</v>
      </c>
      <c r="D10" t="s">
        <v>29</v>
      </c>
      <c r="E10" t="s">
        <v>16</v>
      </c>
      <c r="F10" t="s">
        <v>17</v>
      </c>
      <c r="G10">
        <v>5</v>
      </c>
      <c r="H10" s="3">
        <v>2500</v>
      </c>
      <c r="I10" s="3">
        <f t="shared" si="0"/>
        <v>12500</v>
      </c>
    </row>
    <row r="11" spans="1:9" x14ac:dyDescent="0.35">
      <c r="A11" t="s">
        <v>30</v>
      </c>
      <c r="B11" s="2">
        <v>46208</v>
      </c>
      <c r="C11" t="s">
        <v>31</v>
      </c>
      <c r="D11" t="s">
        <v>19</v>
      </c>
      <c r="E11" t="s">
        <v>32</v>
      </c>
      <c r="F11" t="s">
        <v>17</v>
      </c>
      <c r="G11">
        <v>4</v>
      </c>
      <c r="H11" s="3">
        <v>55000</v>
      </c>
      <c r="I11" s="3">
        <f t="shared" si="0"/>
        <v>220000</v>
      </c>
    </row>
    <row r="12" spans="1:9" x14ac:dyDescent="0.35">
      <c r="A12" t="s">
        <v>33</v>
      </c>
      <c r="B12" s="2">
        <v>46171</v>
      </c>
      <c r="C12" t="s">
        <v>10</v>
      </c>
      <c r="D12" t="s">
        <v>34</v>
      </c>
      <c r="E12" t="s">
        <v>16</v>
      </c>
      <c r="F12" t="s">
        <v>17</v>
      </c>
      <c r="G12">
        <v>7</v>
      </c>
      <c r="H12" s="3">
        <v>2500</v>
      </c>
      <c r="I12" s="3">
        <f t="shared" si="0"/>
        <v>17500</v>
      </c>
    </row>
    <row r="13" spans="1:9" x14ac:dyDescent="0.35">
      <c r="A13" t="s">
        <v>35</v>
      </c>
      <c r="B13" s="2">
        <v>46165</v>
      </c>
      <c r="C13" t="s">
        <v>22</v>
      </c>
      <c r="D13" t="s">
        <v>11</v>
      </c>
      <c r="E13" t="s">
        <v>36</v>
      </c>
      <c r="F13" t="s">
        <v>13</v>
      </c>
      <c r="G13">
        <v>6</v>
      </c>
      <c r="H13" s="3">
        <v>1200</v>
      </c>
      <c r="I13" s="3">
        <f t="shared" si="0"/>
        <v>7200</v>
      </c>
    </row>
    <row r="14" spans="1:9" x14ac:dyDescent="0.35">
      <c r="A14" t="s">
        <v>37</v>
      </c>
      <c r="B14" s="2">
        <v>46204</v>
      </c>
      <c r="C14" t="s">
        <v>31</v>
      </c>
      <c r="D14" t="s">
        <v>11</v>
      </c>
      <c r="E14" t="s">
        <v>16</v>
      </c>
      <c r="F14" t="s">
        <v>17</v>
      </c>
      <c r="G14">
        <v>3</v>
      </c>
      <c r="H14" s="3">
        <v>2500</v>
      </c>
      <c r="I14" s="3">
        <f t="shared" si="0"/>
        <v>7500</v>
      </c>
    </row>
    <row r="15" spans="1:9" x14ac:dyDescent="0.35">
      <c r="A15" t="s">
        <v>38</v>
      </c>
      <c r="B15" s="2">
        <v>46148</v>
      </c>
      <c r="C15" t="s">
        <v>31</v>
      </c>
      <c r="D15" t="s">
        <v>29</v>
      </c>
      <c r="E15" t="s">
        <v>39</v>
      </c>
      <c r="F15" t="s">
        <v>40</v>
      </c>
      <c r="G15">
        <v>5</v>
      </c>
      <c r="H15" s="3">
        <v>14000</v>
      </c>
      <c r="I15" s="3">
        <f t="shared" si="0"/>
        <v>70000</v>
      </c>
    </row>
    <row r="16" spans="1:9" x14ac:dyDescent="0.35">
      <c r="A16" t="s">
        <v>41</v>
      </c>
      <c r="B16" s="2">
        <v>46135</v>
      </c>
      <c r="C16" t="s">
        <v>26</v>
      </c>
      <c r="D16" t="s">
        <v>19</v>
      </c>
      <c r="E16" t="s">
        <v>12</v>
      </c>
      <c r="F16" t="s">
        <v>13</v>
      </c>
      <c r="G16">
        <v>1</v>
      </c>
      <c r="H16" s="3">
        <v>700</v>
      </c>
      <c r="I16" s="3">
        <f t="shared" si="0"/>
        <v>700</v>
      </c>
    </row>
    <row r="17" spans="1:9" x14ac:dyDescent="0.35">
      <c r="A17" t="s">
        <v>42</v>
      </c>
      <c r="B17" s="2">
        <v>46184</v>
      </c>
      <c r="C17" t="s">
        <v>22</v>
      </c>
      <c r="D17" t="s">
        <v>11</v>
      </c>
      <c r="E17" t="s">
        <v>16</v>
      </c>
      <c r="F17" t="s">
        <v>17</v>
      </c>
      <c r="G17">
        <v>4</v>
      </c>
      <c r="H17" s="3">
        <v>2500</v>
      </c>
      <c r="I17" s="3">
        <f t="shared" si="0"/>
        <v>10000</v>
      </c>
    </row>
    <row r="18" spans="1:9" x14ac:dyDescent="0.35">
      <c r="A18" t="s">
        <v>43</v>
      </c>
      <c r="B18" s="2">
        <v>46184</v>
      </c>
      <c r="C18" t="s">
        <v>31</v>
      </c>
      <c r="D18" t="s">
        <v>29</v>
      </c>
      <c r="E18" t="s">
        <v>39</v>
      </c>
      <c r="F18" t="s">
        <v>40</v>
      </c>
      <c r="G18">
        <v>8</v>
      </c>
      <c r="H18" s="3">
        <v>14000</v>
      </c>
      <c r="I18" s="3">
        <f t="shared" si="0"/>
        <v>112000</v>
      </c>
    </row>
    <row r="19" spans="1:9" x14ac:dyDescent="0.35">
      <c r="A19" t="s">
        <v>44</v>
      </c>
      <c r="B19" s="2">
        <v>46096</v>
      </c>
      <c r="C19" t="s">
        <v>26</v>
      </c>
      <c r="D19" t="s">
        <v>34</v>
      </c>
      <c r="E19" t="s">
        <v>12</v>
      </c>
      <c r="F19" t="s">
        <v>13</v>
      </c>
      <c r="G19">
        <v>5</v>
      </c>
      <c r="H19" s="3">
        <v>700</v>
      </c>
      <c r="I19" s="3">
        <f t="shared" si="0"/>
        <v>3500</v>
      </c>
    </row>
    <row r="20" spans="1:9" x14ac:dyDescent="0.35">
      <c r="A20" t="s">
        <v>45</v>
      </c>
      <c r="B20" s="2">
        <v>46242</v>
      </c>
      <c r="C20" t="s">
        <v>22</v>
      </c>
      <c r="D20" t="s">
        <v>11</v>
      </c>
      <c r="E20" t="s">
        <v>12</v>
      </c>
      <c r="F20" t="s">
        <v>13</v>
      </c>
      <c r="G20">
        <v>3</v>
      </c>
      <c r="H20" s="3">
        <v>700</v>
      </c>
      <c r="I20" s="3">
        <f t="shared" si="0"/>
        <v>2100</v>
      </c>
    </row>
    <row r="21" spans="1:9" x14ac:dyDescent="0.35">
      <c r="A21" t="s">
        <v>46</v>
      </c>
      <c r="B21" s="2">
        <v>46283</v>
      </c>
      <c r="C21" t="s">
        <v>22</v>
      </c>
      <c r="D21" t="s">
        <v>19</v>
      </c>
      <c r="E21" t="s">
        <v>32</v>
      </c>
      <c r="F21" t="s">
        <v>17</v>
      </c>
      <c r="G21">
        <v>2</v>
      </c>
      <c r="H21" s="3">
        <v>55000</v>
      </c>
      <c r="I21" s="3">
        <f t="shared" si="0"/>
        <v>110000</v>
      </c>
    </row>
    <row r="22" spans="1:9" x14ac:dyDescent="0.35">
      <c r="A22" t="s">
        <v>47</v>
      </c>
      <c r="B22" s="2">
        <v>46101</v>
      </c>
      <c r="C22" t="s">
        <v>31</v>
      </c>
      <c r="D22" t="s">
        <v>29</v>
      </c>
      <c r="E22" t="s">
        <v>16</v>
      </c>
      <c r="F22" t="s">
        <v>17</v>
      </c>
      <c r="G22">
        <v>7</v>
      </c>
      <c r="H22" s="3">
        <v>2500</v>
      </c>
      <c r="I22" s="3">
        <f t="shared" si="0"/>
        <v>17500</v>
      </c>
    </row>
    <row r="23" spans="1:9" x14ac:dyDescent="0.35">
      <c r="A23" t="s">
        <v>48</v>
      </c>
      <c r="B23" s="2">
        <v>46218</v>
      </c>
      <c r="C23" t="s">
        <v>22</v>
      </c>
      <c r="D23" t="s">
        <v>15</v>
      </c>
      <c r="E23" t="s">
        <v>23</v>
      </c>
      <c r="F23" t="s">
        <v>17</v>
      </c>
      <c r="G23">
        <v>1</v>
      </c>
      <c r="H23" s="3">
        <v>12000</v>
      </c>
      <c r="I23" s="3">
        <f t="shared" si="0"/>
        <v>12000</v>
      </c>
    </row>
    <row r="24" spans="1:9" x14ac:dyDescent="0.35">
      <c r="A24" t="s">
        <v>49</v>
      </c>
      <c r="B24" s="2">
        <v>46081</v>
      </c>
      <c r="C24" t="s">
        <v>26</v>
      </c>
      <c r="D24" t="s">
        <v>11</v>
      </c>
      <c r="E24" t="s">
        <v>16</v>
      </c>
      <c r="F24" t="s">
        <v>17</v>
      </c>
      <c r="G24">
        <v>5</v>
      </c>
      <c r="H24" s="3">
        <v>2500</v>
      </c>
      <c r="I24" s="3">
        <f t="shared" si="0"/>
        <v>12500</v>
      </c>
    </row>
    <row r="25" spans="1:9" x14ac:dyDescent="0.35">
      <c r="A25" t="s">
        <v>50</v>
      </c>
      <c r="B25" s="2">
        <v>46245</v>
      </c>
      <c r="C25" t="s">
        <v>31</v>
      </c>
      <c r="D25" t="s">
        <v>29</v>
      </c>
      <c r="E25" t="s">
        <v>32</v>
      </c>
      <c r="F25" t="s">
        <v>17</v>
      </c>
      <c r="G25">
        <v>5</v>
      </c>
      <c r="H25" s="3">
        <v>55000</v>
      </c>
      <c r="I25" s="3">
        <f t="shared" si="0"/>
        <v>275000</v>
      </c>
    </row>
    <row r="26" spans="1:9" x14ac:dyDescent="0.35">
      <c r="A26" t="s">
        <v>51</v>
      </c>
      <c r="B26" s="2">
        <v>46279</v>
      </c>
      <c r="C26" t="s">
        <v>31</v>
      </c>
      <c r="D26" t="s">
        <v>15</v>
      </c>
      <c r="E26" t="s">
        <v>16</v>
      </c>
      <c r="F26" t="s">
        <v>17</v>
      </c>
      <c r="G26">
        <v>5</v>
      </c>
      <c r="H26" s="3">
        <v>2500</v>
      </c>
      <c r="I26" s="3">
        <f t="shared" si="0"/>
        <v>12500</v>
      </c>
    </row>
    <row r="27" spans="1:9" x14ac:dyDescent="0.35">
      <c r="A27" t="s">
        <v>52</v>
      </c>
      <c r="B27" s="2">
        <v>46282</v>
      </c>
      <c r="C27" t="s">
        <v>31</v>
      </c>
      <c r="D27" t="s">
        <v>34</v>
      </c>
      <c r="E27" t="s">
        <v>53</v>
      </c>
      <c r="F27" t="s">
        <v>40</v>
      </c>
      <c r="G27">
        <v>3</v>
      </c>
      <c r="H27" s="3">
        <v>8500</v>
      </c>
      <c r="I27" s="3">
        <f t="shared" si="0"/>
        <v>25500</v>
      </c>
    </row>
    <row r="28" spans="1:9" x14ac:dyDescent="0.35">
      <c r="A28" t="s">
        <v>54</v>
      </c>
      <c r="B28" s="2">
        <v>46294</v>
      </c>
      <c r="C28" t="s">
        <v>10</v>
      </c>
      <c r="D28" t="s">
        <v>15</v>
      </c>
      <c r="E28" t="s">
        <v>53</v>
      </c>
      <c r="F28" t="s">
        <v>40</v>
      </c>
      <c r="G28">
        <v>8</v>
      </c>
      <c r="H28" s="3">
        <v>8500</v>
      </c>
      <c r="I28" s="3">
        <f t="shared" si="0"/>
        <v>68000</v>
      </c>
    </row>
    <row r="29" spans="1:9" x14ac:dyDescent="0.35">
      <c r="A29" t="s">
        <v>55</v>
      </c>
      <c r="B29" s="2">
        <v>46032</v>
      </c>
      <c r="C29" t="s">
        <v>10</v>
      </c>
      <c r="D29" t="s">
        <v>11</v>
      </c>
      <c r="E29" t="s">
        <v>23</v>
      </c>
      <c r="F29" t="s">
        <v>17</v>
      </c>
      <c r="G29">
        <v>4</v>
      </c>
      <c r="H29" s="3">
        <v>12000</v>
      </c>
      <c r="I29" s="3">
        <f t="shared" si="0"/>
        <v>48000</v>
      </c>
    </row>
    <row r="30" spans="1:9" x14ac:dyDescent="0.35">
      <c r="A30" t="s">
        <v>56</v>
      </c>
      <c r="B30" s="2">
        <v>46052</v>
      </c>
      <c r="C30" t="s">
        <v>31</v>
      </c>
      <c r="D30" t="s">
        <v>15</v>
      </c>
      <c r="E30" t="s">
        <v>16</v>
      </c>
      <c r="F30" t="s">
        <v>17</v>
      </c>
      <c r="G30">
        <v>2</v>
      </c>
      <c r="H30" s="3">
        <v>2500</v>
      </c>
      <c r="I30" s="3">
        <f t="shared" si="0"/>
        <v>5000</v>
      </c>
    </row>
    <row r="31" spans="1:9" x14ac:dyDescent="0.35">
      <c r="A31" t="s">
        <v>57</v>
      </c>
      <c r="B31" s="2">
        <v>46271</v>
      </c>
      <c r="C31" t="s">
        <v>10</v>
      </c>
      <c r="D31" t="s">
        <v>15</v>
      </c>
      <c r="E31" t="s">
        <v>36</v>
      </c>
      <c r="F31" t="s">
        <v>13</v>
      </c>
      <c r="G31">
        <v>3</v>
      </c>
      <c r="H31" s="3">
        <v>1200</v>
      </c>
      <c r="I31" s="3">
        <f t="shared" si="0"/>
        <v>3600</v>
      </c>
    </row>
    <row r="32" spans="1:9" x14ac:dyDescent="0.35">
      <c r="A32" t="s">
        <v>58</v>
      </c>
      <c r="B32" s="2">
        <v>46266</v>
      </c>
      <c r="C32" t="s">
        <v>31</v>
      </c>
      <c r="D32" t="s">
        <v>11</v>
      </c>
      <c r="E32" t="s">
        <v>39</v>
      </c>
      <c r="F32" t="s">
        <v>40</v>
      </c>
      <c r="G32">
        <v>4</v>
      </c>
      <c r="H32" s="3">
        <v>14000</v>
      </c>
      <c r="I32" s="3">
        <f t="shared" si="0"/>
        <v>56000</v>
      </c>
    </row>
    <row r="33" spans="1:9" x14ac:dyDescent="0.35">
      <c r="A33" t="s">
        <v>59</v>
      </c>
      <c r="B33" s="2">
        <v>46125</v>
      </c>
      <c r="C33" t="s">
        <v>26</v>
      </c>
      <c r="D33" t="s">
        <v>29</v>
      </c>
      <c r="E33" t="s">
        <v>53</v>
      </c>
      <c r="F33" t="s">
        <v>40</v>
      </c>
      <c r="G33">
        <v>8</v>
      </c>
      <c r="H33" s="3">
        <v>8500</v>
      </c>
      <c r="I33" s="3">
        <f t="shared" si="0"/>
        <v>68000</v>
      </c>
    </row>
    <row r="34" spans="1:9" x14ac:dyDescent="0.35">
      <c r="A34" t="s">
        <v>60</v>
      </c>
      <c r="B34" s="2">
        <v>46287</v>
      </c>
      <c r="C34" t="s">
        <v>22</v>
      </c>
      <c r="D34" t="s">
        <v>19</v>
      </c>
      <c r="E34" t="s">
        <v>12</v>
      </c>
      <c r="F34" t="s">
        <v>13</v>
      </c>
      <c r="G34">
        <v>4</v>
      </c>
      <c r="H34" s="3">
        <v>700</v>
      </c>
      <c r="I34" s="3">
        <f t="shared" ref="I34:I65" si="1">G34*H34</f>
        <v>2800</v>
      </c>
    </row>
    <row r="35" spans="1:9" x14ac:dyDescent="0.35">
      <c r="A35" t="s">
        <v>61</v>
      </c>
      <c r="B35" s="2">
        <v>46055</v>
      </c>
      <c r="C35" t="s">
        <v>26</v>
      </c>
      <c r="D35" t="s">
        <v>19</v>
      </c>
      <c r="E35" t="s">
        <v>12</v>
      </c>
      <c r="F35" t="s">
        <v>13</v>
      </c>
      <c r="G35">
        <v>4</v>
      </c>
      <c r="H35" s="3">
        <v>700</v>
      </c>
      <c r="I35" s="3">
        <f t="shared" si="1"/>
        <v>2800</v>
      </c>
    </row>
    <row r="36" spans="1:9" x14ac:dyDescent="0.35">
      <c r="A36" t="s">
        <v>62</v>
      </c>
      <c r="B36" s="2">
        <v>46026</v>
      </c>
      <c r="C36" t="s">
        <v>10</v>
      </c>
      <c r="D36" t="s">
        <v>19</v>
      </c>
      <c r="E36" t="s">
        <v>12</v>
      </c>
      <c r="F36" t="s">
        <v>13</v>
      </c>
      <c r="G36">
        <v>2</v>
      </c>
      <c r="H36" s="3">
        <v>700</v>
      </c>
      <c r="I36" s="3">
        <f t="shared" si="1"/>
        <v>1400</v>
      </c>
    </row>
    <row r="37" spans="1:9" x14ac:dyDescent="0.35">
      <c r="A37" t="s">
        <v>63</v>
      </c>
      <c r="B37" s="2">
        <v>46039</v>
      </c>
      <c r="C37" t="s">
        <v>26</v>
      </c>
      <c r="D37" t="s">
        <v>19</v>
      </c>
      <c r="E37" t="s">
        <v>12</v>
      </c>
      <c r="F37" t="s">
        <v>13</v>
      </c>
      <c r="G37">
        <v>5</v>
      </c>
      <c r="H37" s="3">
        <v>700</v>
      </c>
      <c r="I37" s="3">
        <f t="shared" si="1"/>
        <v>3500</v>
      </c>
    </row>
    <row r="38" spans="1:9" x14ac:dyDescent="0.35">
      <c r="A38" t="s">
        <v>64</v>
      </c>
      <c r="B38" s="2">
        <v>46271</v>
      </c>
      <c r="C38" t="s">
        <v>31</v>
      </c>
      <c r="D38" t="s">
        <v>15</v>
      </c>
      <c r="E38" t="s">
        <v>36</v>
      </c>
      <c r="F38" t="s">
        <v>13</v>
      </c>
      <c r="G38">
        <v>8</v>
      </c>
      <c r="H38" s="3">
        <v>1200</v>
      </c>
      <c r="I38" s="3">
        <f t="shared" si="1"/>
        <v>9600</v>
      </c>
    </row>
    <row r="39" spans="1:9" x14ac:dyDescent="0.35">
      <c r="A39" t="s">
        <v>65</v>
      </c>
      <c r="B39" s="2">
        <v>46147</v>
      </c>
      <c r="C39" t="s">
        <v>22</v>
      </c>
      <c r="D39" t="s">
        <v>29</v>
      </c>
      <c r="E39" t="s">
        <v>12</v>
      </c>
      <c r="F39" t="s">
        <v>13</v>
      </c>
      <c r="G39">
        <v>2</v>
      </c>
      <c r="H39" s="3">
        <v>700</v>
      </c>
      <c r="I39" s="3">
        <f t="shared" si="1"/>
        <v>1400</v>
      </c>
    </row>
    <row r="40" spans="1:9" x14ac:dyDescent="0.35">
      <c r="A40" t="s">
        <v>66</v>
      </c>
      <c r="B40" s="2">
        <v>46072</v>
      </c>
      <c r="C40" t="s">
        <v>22</v>
      </c>
      <c r="D40" t="s">
        <v>11</v>
      </c>
      <c r="E40" t="s">
        <v>39</v>
      </c>
      <c r="F40" t="s">
        <v>40</v>
      </c>
      <c r="G40">
        <v>7</v>
      </c>
      <c r="H40" s="3">
        <v>14000</v>
      </c>
      <c r="I40" s="3">
        <f t="shared" si="1"/>
        <v>98000</v>
      </c>
    </row>
    <row r="41" spans="1:9" x14ac:dyDescent="0.35">
      <c r="A41" t="s">
        <v>67</v>
      </c>
      <c r="B41" s="2">
        <v>46262</v>
      </c>
      <c r="C41" t="s">
        <v>10</v>
      </c>
      <c r="D41" t="s">
        <v>19</v>
      </c>
      <c r="E41" t="s">
        <v>32</v>
      </c>
      <c r="F41" t="s">
        <v>17</v>
      </c>
      <c r="G41">
        <v>7</v>
      </c>
      <c r="H41" s="3">
        <v>55000</v>
      </c>
      <c r="I41" s="3">
        <f t="shared" si="1"/>
        <v>385000</v>
      </c>
    </row>
    <row r="42" spans="1:9" x14ac:dyDescent="0.35">
      <c r="A42" t="s">
        <v>68</v>
      </c>
      <c r="B42" s="2">
        <v>46196</v>
      </c>
      <c r="C42" t="s">
        <v>10</v>
      </c>
      <c r="D42" t="s">
        <v>34</v>
      </c>
      <c r="E42" t="s">
        <v>12</v>
      </c>
      <c r="F42" t="s">
        <v>13</v>
      </c>
      <c r="G42">
        <v>4</v>
      </c>
      <c r="H42" s="3">
        <v>700</v>
      </c>
      <c r="I42" s="3">
        <f t="shared" si="1"/>
        <v>2800</v>
      </c>
    </row>
    <row r="43" spans="1:9" x14ac:dyDescent="0.35">
      <c r="A43" t="s">
        <v>69</v>
      </c>
      <c r="B43" s="2">
        <v>46252</v>
      </c>
      <c r="C43" t="s">
        <v>31</v>
      </c>
      <c r="D43" t="s">
        <v>29</v>
      </c>
      <c r="E43" t="s">
        <v>36</v>
      </c>
      <c r="F43" t="s">
        <v>13</v>
      </c>
      <c r="G43">
        <v>5</v>
      </c>
      <c r="H43" s="3">
        <v>1200</v>
      </c>
      <c r="I43" s="3">
        <f t="shared" si="1"/>
        <v>6000</v>
      </c>
    </row>
    <row r="44" spans="1:9" x14ac:dyDescent="0.35">
      <c r="A44" t="s">
        <v>70</v>
      </c>
      <c r="B44" s="2">
        <v>46259</v>
      </c>
      <c r="C44" t="s">
        <v>31</v>
      </c>
      <c r="D44" t="s">
        <v>19</v>
      </c>
      <c r="E44" t="s">
        <v>71</v>
      </c>
      <c r="F44" t="s">
        <v>13</v>
      </c>
      <c r="G44">
        <v>2</v>
      </c>
      <c r="H44" s="3">
        <v>600</v>
      </c>
      <c r="I44" s="3">
        <f t="shared" si="1"/>
        <v>1200</v>
      </c>
    </row>
    <row r="45" spans="1:9" x14ac:dyDescent="0.35">
      <c r="A45" t="s">
        <v>72</v>
      </c>
      <c r="B45" s="2">
        <v>46048</v>
      </c>
      <c r="C45" t="s">
        <v>10</v>
      </c>
      <c r="D45" t="s">
        <v>19</v>
      </c>
      <c r="E45" t="s">
        <v>12</v>
      </c>
      <c r="F45" t="s">
        <v>13</v>
      </c>
      <c r="G45">
        <v>3</v>
      </c>
      <c r="H45" s="3">
        <v>700</v>
      </c>
      <c r="I45" s="3">
        <f t="shared" si="1"/>
        <v>2100</v>
      </c>
    </row>
    <row r="46" spans="1:9" x14ac:dyDescent="0.35">
      <c r="A46" t="s">
        <v>73</v>
      </c>
      <c r="B46" s="2">
        <v>46231</v>
      </c>
      <c r="C46" t="s">
        <v>22</v>
      </c>
      <c r="D46" t="s">
        <v>29</v>
      </c>
      <c r="E46" t="s">
        <v>12</v>
      </c>
      <c r="F46" t="s">
        <v>13</v>
      </c>
      <c r="G46">
        <v>7</v>
      </c>
      <c r="H46" s="3">
        <v>700</v>
      </c>
      <c r="I46" s="3">
        <f t="shared" si="1"/>
        <v>4900</v>
      </c>
    </row>
    <row r="47" spans="1:9" x14ac:dyDescent="0.35">
      <c r="A47" t="s">
        <v>74</v>
      </c>
      <c r="B47" s="2">
        <v>46053</v>
      </c>
      <c r="C47" t="s">
        <v>31</v>
      </c>
      <c r="D47" t="s">
        <v>29</v>
      </c>
      <c r="E47" t="s">
        <v>32</v>
      </c>
      <c r="F47" t="s">
        <v>17</v>
      </c>
      <c r="G47">
        <v>7</v>
      </c>
      <c r="H47" s="3">
        <v>55000</v>
      </c>
      <c r="I47" s="3">
        <f t="shared" si="1"/>
        <v>385000</v>
      </c>
    </row>
    <row r="48" spans="1:9" x14ac:dyDescent="0.35">
      <c r="A48" t="s">
        <v>75</v>
      </c>
      <c r="B48" s="2">
        <v>46158</v>
      </c>
      <c r="C48" t="s">
        <v>22</v>
      </c>
      <c r="D48" t="s">
        <v>11</v>
      </c>
      <c r="E48" t="s">
        <v>39</v>
      </c>
      <c r="F48" t="s">
        <v>40</v>
      </c>
      <c r="G48">
        <v>8</v>
      </c>
      <c r="H48" s="3">
        <v>14000</v>
      </c>
      <c r="I48" s="3">
        <f t="shared" si="1"/>
        <v>112000</v>
      </c>
    </row>
    <row r="49" spans="1:9" x14ac:dyDescent="0.35">
      <c r="A49" t="s">
        <v>76</v>
      </c>
      <c r="B49" s="2">
        <v>46102</v>
      </c>
      <c r="C49" t="s">
        <v>31</v>
      </c>
      <c r="D49" t="s">
        <v>11</v>
      </c>
      <c r="E49" t="s">
        <v>12</v>
      </c>
      <c r="F49" t="s">
        <v>13</v>
      </c>
      <c r="G49">
        <v>1</v>
      </c>
      <c r="H49" s="3">
        <v>700</v>
      </c>
      <c r="I49" s="3">
        <f t="shared" si="1"/>
        <v>700</v>
      </c>
    </row>
    <row r="50" spans="1:9" x14ac:dyDescent="0.35">
      <c r="A50" t="s">
        <v>77</v>
      </c>
      <c r="B50" s="2">
        <v>46054</v>
      </c>
      <c r="C50" t="s">
        <v>26</v>
      </c>
      <c r="D50" t="s">
        <v>19</v>
      </c>
      <c r="E50" t="s">
        <v>32</v>
      </c>
      <c r="F50" t="s">
        <v>17</v>
      </c>
      <c r="G50">
        <v>8</v>
      </c>
      <c r="H50" s="3">
        <v>55000</v>
      </c>
      <c r="I50" s="3">
        <f t="shared" si="1"/>
        <v>440000</v>
      </c>
    </row>
    <row r="51" spans="1:9" x14ac:dyDescent="0.35">
      <c r="A51" t="s">
        <v>78</v>
      </c>
      <c r="B51" s="2">
        <v>46280</v>
      </c>
      <c r="C51" t="s">
        <v>31</v>
      </c>
      <c r="D51" t="s">
        <v>19</v>
      </c>
      <c r="E51" t="s">
        <v>16</v>
      </c>
      <c r="F51" t="s">
        <v>17</v>
      </c>
      <c r="G51">
        <v>3</v>
      </c>
      <c r="H51" s="3">
        <v>2500</v>
      </c>
      <c r="I51" s="3">
        <f t="shared" si="1"/>
        <v>7500</v>
      </c>
    </row>
    <row r="52" spans="1:9" x14ac:dyDescent="0.35">
      <c r="A52" t="s">
        <v>79</v>
      </c>
      <c r="B52" s="2">
        <v>46058</v>
      </c>
      <c r="C52" t="s">
        <v>10</v>
      </c>
      <c r="D52" t="s">
        <v>34</v>
      </c>
      <c r="E52" t="s">
        <v>39</v>
      </c>
      <c r="F52" t="s">
        <v>40</v>
      </c>
      <c r="G52">
        <v>2</v>
      </c>
      <c r="H52" s="3">
        <v>14000</v>
      </c>
      <c r="I52" s="3">
        <f t="shared" si="1"/>
        <v>28000</v>
      </c>
    </row>
    <row r="53" spans="1:9" x14ac:dyDescent="0.35">
      <c r="A53" t="s">
        <v>80</v>
      </c>
      <c r="B53" s="2">
        <v>46149</v>
      </c>
      <c r="C53" t="s">
        <v>10</v>
      </c>
      <c r="D53" t="s">
        <v>15</v>
      </c>
      <c r="E53" t="s">
        <v>16</v>
      </c>
      <c r="F53" t="s">
        <v>17</v>
      </c>
      <c r="G53">
        <v>7</v>
      </c>
      <c r="H53" s="3">
        <v>2500</v>
      </c>
      <c r="I53" s="3">
        <f t="shared" si="1"/>
        <v>17500</v>
      </c>
    </row>
    <row r="54" spans="1:9" x14ac:dyDescent="0.35">
      <c r="A54" t="s">
        <v>81</v>
      </c>
      <c r="B54" s="2">
        <v>46290</v>
      </c>
      <c r="C54" t="s">
        <v>26</v>
      </c>
      <c r="D54" t="s">
        <v>11</v>
      </c>
      <c r="E54" t="s">
        <v>12</v>
      </c>
      <c r="F54" t="s">
        <v>13</v>
      </c>
      <c r="G54">
        <v>6</v>
      </c>
      <c r="H54" s="3">
        <v>700</v>
      </c>
      <c r="I54" s="3">
        <f t="shared" si="1"/>
        <v>4200</v>
      </c>
    </row>
    <row r="55" spans="1:9" x14ac:dyDescent="0.35">
      <c r="A55" t="s">
        <v>82</v>
      </c>
      <c r="B55" s="2">
        <v>46145</v>
      </c>
      <c r="C55" t="s">
        <v>26</v>
      </c>
      <c r="D55" t="s">
        <v>29</v>
      </c>
      <c r="E55" t="s">
        <v>36</v>
      </c>
      <c r="F55" t="s">
        <v>13</v>
      </c>
      <c r="G55">
        <v>5</v>
      </c>
      <c r="H55" s="3">
        <v>1200</v>
      </c>
      <c r="I55" s="3">
        <f t="shared" si="1"/>
        <v>6000</v>
      </c>
    </row>
    <row r="56" spans="1:9" x14ac:dyDescent="0.35">
      <c r="A56" t="s">
        <v>83</v>
      </c>
      <c r="B56" s="2">
        <v>46257</v>
      </c>
      <c r="C56" t="s">
        <v>26</v>
      </c>
      <c r="D56" t="s">
        <v>19</v>
      </c>
      <c r="E56" t="s">
        <v>32</v>
      </c>
      <c r="F56" t="s">
        <v>17</v>
      </c>
      <c r="G56">
        <v>8</v>
      </c>
      <c r="H56" s="3">
        <v>55000</v>
      </c>
      <c r="I56" s="3">
        <f t="shared" si="1"/>
        <v>440000</v>
      </c>
    </row>
    <row r="57" spans="1:9" x14ac:dyDescent="0.35">
      <c r="A57" t="s">
        <v>84</v>
      </c>
      <c r="B57" s="2">
        <v>46074</v>
      </c>
      <c r="C57" t="s">
        <v>10</v>
      </c>
      <c r="D57" t="s">
        <v>15</v>
      </c>
      <c r="E57" t="s">
        <v>12</v>
      </c>
      <c r="F57" t="s">
        <v>13</v>
      </c>
      <c r="G57">
        <v>5</v>
      </c>
      <c r="H57" s="3">
        <v>700</v>
      </c>
      <c r="I57" s="3">
        <f t="shared" si="1"/>
        <v>3500</v>
      </c>
    </row>
    <row r="58" spans="1:9" x14ac:dyDescent="0.35">
      <c r="A58" t="s">
        <v>85</v>
      </c>
      <c r="B58" s="2">
        <v>46090</v>
      </c>
      <c r="C58" t="s">
        <v>26</v>
      </c>
      <c r="D58" t="s">
        <v>19</v>
      </c>
      <c r="E58" t="s">
        <v>12</v>
      </c>
      <c r="F58" t="s">
        <v>13</v>
      </c>
      <c r="G58">
        <v>6</v>
      </c>
      <c r="H58" s="3">
        <v>700</v>
      </c>
      <c r="I58" s="3">
        <f t="shared" si="1"/>
        <v>4200</v>
      </c>
    </row>
    <row r="59" spans="1:9" x14ac:dyDescent="0.35">
      <c r="A59" t="s">
        <v>86</v>
      </c>
      <c r="B59" s="2">
        <v>46168</v>
      </c>
      <c r="C59" t="s">
        <v>31</v>
      </c>
      <c r="D59" t="s">
        <v>29</v>
      </c>
      <c r="E59" t="s">
        <v>23</v>
      </c>
      <c r="F59" t="s">
        <v>17</v>
      </c>
      <c r="G59">
        <v>1</v>
      </c>
      <c r="H59" s="3">
        <v>12000</v>
      </c>
      <c r="I59" s="3">
        <f t="shared" si="1"/>
        <v>12000</v>
      </c>
    </row>
    <row r="60" spans="1:9" x14ac:dyDescent="0.35">
      <c r="A60" t="s">
        <v>87</v>
      </c>
      <c r="B60" s="2">
        <v>46176</v>
      </c>
      <c r="C60" t="s">
        <v>10</v>
      </c>
      <c r="D60" t="s">
        <v>34</v>
      </c>
      <c r="E60" t="s">
        <v>23</v>
      </c>
      <c r="F60" t="s">
        <v>17</v>
      </c>
      <c r="G60">
        <v>2</v>
      </c>
      <c r="H60" s="3">
        <v>12000</v>
      </c>
      <c r="I60" s="3">
        <f t="shared" si="1"/>
        <v>24000</v>
      </c>
    </row>
    <row r="61" spans="1:9" x14ac:dyDescent="0.35">
      <c r="A61" t="s">
        <v>88</v>
      </c>
      <c r="B61" s="2">
        <v>46077</v>
      </c>
      <c r="C61" t="s">
        <v>31</v>
      </c>
      <c r="D61" t="s">
        <v>11</v>
      </c>
      <c r="E61" t="s">
        <v>23</v>
      </c>
      <c r="F61" t="s">
        <v>17</v>
      </c>
      <c r="G61">
        <v>4</v>
      </c>
      <c r="H61" s="3">
        <v>12000</v>
      </c>
      <c r="I61" s="3">
        <f t="shared" si="1"/>
        <v>48000</v>
      </c>
    </row>
  </sheetData>
  <autoFilter ref="A1:I61" xr:uid="{00000000-0009-0000-0000-000000000000}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opLeftCell="D9" workbookViewId="0">
      <selection activeCell="G18" sqref="G18:H26"/>
    </sheetView>
  </sheetViews>
  <sheetFormatPr defaultRowHeight="14.5" x14ac:dyDescent="0.35"/>
  <cols>
    <col min="1" max="1" width="30" customWidth="1"/>
    <col min="2" max="3" width="22" customWidth="1"/>
    <col min="4" max="4" width="16.54296875" customWidth="1"/>
    <col min="5" max="5" width="18.7265625" customWidth="1"/>
    <col min="7" max="7" width="12.54296875" customWidth="1"/>
    <col min="8" max="9" width="14.7265625" customWidth="1"/>
  </cols>
  <sheetData>
    <row r="1" spans="1:4" ht="21" x14ac:dyDescent="0.5">
      <c r="A1" s="7" t="s">
        <v>89</v>
      </c>
      <c r="B1" s="8"/>
      <c r="C1" s="8"/>
      <c r="D1" s="8"/>
    </row>
    <row r="3" spans="1:4" x14ac:dyDescent="0.35">
      <c r="A3" s="4" t="s">
        <v>90</v>
      </c>
    </row>
    <row r="4" spans="1:4" x14ac:dyDescent="0.35">
      <c r="A4" t="s">
        <v>91</v>
      </c>
    </row>
    <row r="5" spans="1:4" x14ac:dyDescent="0.35">
      <c r="A5" t="s">
        <v>92</v>
      </c>
    </row>
    <row r="6" spans="1:4" x14ac:dyDescent="0.35">
      <c r="A6" t="s">
        <v>93</v>
      </c>
    </row>
    <row r="7" spans="1:4" x14ac:dyDescent="0.35">
      <c r="A7" t="s">
        <v>94</v>
      </c>
    </row>
    <row r="8" spans="1:4" x14ac:dyDescent="0.35">
      <c r="A8" t="s">
        <v>95</v>
      </c>
    </row>
    <row r="9" spans="1:4" x14ac:dyDescent="0.35">
      <c r="A9" t="s">
        <v>96</v>
      </c>
    </row>
    <row r="12" spans="1:4" x14ac:dyDescent="0.35">
      <c r="A12" s="4" t="s">
        <v>97</v>
      </c>
    </row>
    <row r="13" spans="1:4" x14ac:dyDescent="0.35">
      <c r="A13" t="s">
        <v>98</v>
      </c>
      <c r="B13" s="3">
        <f>SUM('Raw Data'!I2:I61)</f>
        <v>3336200</v>
      </c>
    </row>
    <row r="14" spans="1:4" x14ac:dyDescent="0.35">
      <c r="A14" t="s">
        <v>99</v>
      </c>
      <c r="B14">
        <f>COUNTA('Raw Data'!A2:A61)</f>
        <v>60</v>
      </c>
    </row>
    <row r="15" spans="1:4" x14ac:dyDescent="0.35">
      <c r="A15" t="s">
        <v>100</v>
      </c>
      <c r="B15">
        <f>SUM('Raw Data'!G2:G61)</f>
        <v>275</v>
      </c>
      <c r="D15" s="10"/>
    </row>
    <row r="16" spans="1:4" x14ac:dyDescent="0.35">
      <c r="D16" s="10"/>
    </row>
    <row r="17" spans="1:8" x14ac:dyDescent="0.35">
      <c r="D17" s="10"/>
    </row>
    <row r="18" spans="1:8" x14ac:dyDescent="0.35">
      <c r="A18" s="10" t="s">
        <v>5</v>
      </c>
      <c r="B18" s="10" t="s">
        <v>98</v>
      </c>
      <c r="D18" s="10" t="s">
        <v>2</v>
      </c>
      <c r="E18" s="10" t="s">
        <v>98</v>
      </c>
      <c r="G18" s="10" t="s">
        <v>4</v>
      </c>
      <c r="H18" s="10" t="s">
        <v>98</v>
      </c>
    </row>
    <row r="19" spans="1:8" x14ac:dyDescent="0.35">
      <c r="A19" t="s">
        <v>13</v>
      </c>
      <c r="B19">
        <f>SUMIF('Raw Data'!F$2:F$61,A19,'Raw Data'!I$2:I$61)</f>
        <v>84700</v>
      </c>
      <c r="D19" t="s">
        <v>10</v>
      </c>
      <c r="E19">
        <f>SUMIF('Raw Data'!C$2:C$61,D19,'Raw Data'!I$2:I$61)</f>
        <v>641900</v>
      </c>
      <c r="G19" t="s">
        <v>12</v>
      </c>
      <c r="H19">
        <f>SUMIF('Raw Data'!E$2:E$61,G19,'Raw Data'!I$2:I$61)</f>
        <v>51100</v>
      </c>
    </row>
    <row r="20" spans="1:8" x14ac:dyDescent="0.35">
      <c r="A20" s="11" t="s">
        <v>17</v>
      </c>
      <c r="B20">
        <f>SUMIF('Raw Data'!F$2:F$61,A20,'Raw Data'!I$2:I$61)</f>
        <v>2614000</v>
      </c>
      <c r="D20" t="s">
        <v>22</v>
      </c>
      <c r="E20">
        <f>SUMIF('Raw Data'!C$2:C$61,D20,'Raw Data'!I$2:I$61)</f>
        <v>408400</v>
      </c>
      <c r="G20" t="s">
        <v>16</v>
      </c>
      <c r="H20">
        <f>SUMIF('Raw Data'!E$2:E$61,G20,'Raw Data'!I$2:I$61)</f>
        <v>155000</v>
      </c>
    </row>
    <row r="21" spans="1:8" x14ac:dyDescent="0.35">
      <c r="A21" s="11" t="s">
        <v>40</v>
      </c>
      <c r="B21">
        <f>SUMIF('Raw Data'!F$2:F$61,A21,'Raw Data'!I$2:I$61)</f>
        <v>637500</v>
      </c>
      <c r="D21" t="s">
        <v>26</v>
      </c>
      <c r="E21">
        <f>SUMIF('Raw Data'!C$2:C$61,D21,'Raw Data'!I$2:I$61)</f>
        <v>1014900</v>
      </c>
      <c r="G21" t="s">
        <v>23</v>
      </c>
      <c r="H21">
        <f>SUMIF('Raw Data'!E$2:E$61,G21,'Raw Data'!I$2:I$61)</f>
        <v>204000</v>
      </c>
    </row>
    <row r="22" spans="1:8" x14ac:dyDescent="0.35">
      <c r="A22" s="11"/>
      <c r="D22" t="s">
        <v>31</v>
      </c>
      <c r="E22">
        <f>SUMIF('Raw Data'!C$2:C$61,D22,'Raw Data'!I$2:I$61)</f>
        <v>1271000</v>
      </c>
      <c r="G22" t="s">
        <v>32</v>
      </c>
      <c r="H22">
        <f>SUMIF('Raw Data'!E$2:E$61,G22,'Raw Data'!I$2:I$61)</f>
        <v>2255000</v>
      </c>
    </row>
    <row r="23" spans="1:8" x14ac:dyDescent="0.35">
      <c r="G23" t="s">
        <v>36</v>
      </c>
      <c r="H23">
        <f>SUMIF('Raw Data'!E$2:E$61,G23,'Raw Data'!I$2:I$61)</f>
        <v>32400</v>
      </c>
    </row>
    <row r="24" spans="1:8" x14ac:dyDescent="0.35">
      <c r="G24" t="s">
        <v>39</v>
      </c>
      <c r="H24">
        <f>SUMIF('Raw Data'!E$2:E$61,G24,'Raw Data'!I$2:I$61)</f>
        <v>476000</v>
      </c>
    </row>
    <row r="25" spans="1:8" x14ac:dyDescent="0.35">
      <c r="G25" t="s">
        <v>53</v>
      </c>
      <c r="H25">
        <f>SUMIF('Raw Data'!E$2:E$61,G25,'Raw Data'!I$2:I$61)</f>
        <v>161500</v>
      </c>
    </row>
    <row r="26" spans="1:8" x14ac:dyDescent="0.35">
      <c r="G26" t="s">
        <v>71</v>
      </c>
      <c r="H26">
        <f>SUMIF('Raw Data'!E$2:E$61,G26,'Raw Data'!I$2:I$61)</f>
        <v>1200</v>
      </c>
    </row>
  </sheetData>
  <mergeCells count="1">
    <mergeCell ref="A1:D1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tabSelected="1" workbookViewId="0">
      <selection activeCell="D5" sqref="D5"/>
    </sheetView>
  </sheetViews>
  <sheetFormatPr defaultRowHeight="14.5" x14ac:dyDescent="0.35"/>
  <cols>
    <col min="1" max="6" width="20" customWidth="1"/>
  </cols>
  <sheetData>
    <row r="1" spans="1:6" ht="23.5" x14ac:dyDescent="0.35">
      <c r="A1" s="14" t="s">
        <v>101</v>
      </c>
      <c r="B1" s="15"/>
      <c r="C1" s="15"/>
      <c r="D1" s="15"/>
      <c r="E1" s="15"/>
      <c r="F1" s="15"/>
    </row>
    <row r="3" spans="1:6" ht="34" customHeight="1" x14ac:dyDescent="0.35">
      <c r="A3" s="9" t="s">
        <v>102</v>
      </c>
      <c r="B3" s="8"/>
      <c r="C3" s="8"/>
      <c r="D3" s="8"/>
      <c r="E3" s="8"/>
      <c r="F3" s="8"/>
    </row>
    <row r="5" spans="1:6" x14ac:dyDescent="0.35">
      <c r="A5" s="4" t="s">
        <v>103</v>
      </c>
    </row>
    <row r="6" spans="1:6" x14ac:dyDescent="0.35">
      <c r="A6" s="5" t="s">
        <v>98</v>
      </c>
      <c r="B6" s="12">
        <f>Analysis!B13</f>
        <v>3336200</v>
      </c>
      <c r="C6" s="5" t="s">
        <v>99</v>
      </c>
      <c r="D6">
        <f>Analysis!B14</f>
        <v>60</v>
      </c>
      <c r="E6" s="5" t="s">
        <v>6</v>
      </c>
      <c r="F6">
        <f>Analysis!B15</f>
        <v>275</v>
      </c>
    </row>
    <row r="7" spans="1:6" x14ac:dyDescent="0.35">
      <c r="B7" s="12"/>
    </row>
  </sheetData>
  <mergeCells count="2">
    <mergeCell ref="A3:F3"/>
    <mergeCell ref="A1:F1"/>
  </mergeCells>
  <pageMargins left="0.75" right="0.75" top="1" bottom="1" header="0.5" footer="0.5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9"/>
  <sheetViews>
    <sheetView workbookViewId="0"/>
  </sheetViews>
  <sheetFormatPr defaultRowHeight="14.5" x14ac:dyDescent="0.35"/>
  <cols>
    <col min="1" max="1" width="105" customWidth="1"/>
  </cols>
  <sheetData>
    <row r="1" spans="1:1" ht="21" x14ac:dyDescent="0.5">
      <c r="A1" s="6" t="s">
        <v>104</v>
      </c>
    </row>
    <row r="3" spans="1:1" x14ac:dyDescent="0.35">
      <c r="A3" t="s">
        <v>105</v>
      </c>
    </row>
    <row r="4" spans="1:1" x14ac:dyDescent="0.35">
      <c r="A4" t="s">
        <v>106</v>
      </c>
    </row>
    <row r="5" spans="1:1" x14ac:dyDescent="0.35">
      <c r="A5" t="s">
        <v>107</v>
      </c>
    </row>
    <row r="6" spans="1:1" x14ac:dyDescent="0.35">
      <c r="A6" t="s">
        <v>108</v>
      </c>
    </row>
    <row r="7" spans="1:1" x14ac:dyDescent="0.35">
      <c r="A7" t="s">
        <v>109</v>
      </c>
    </row>
    <row r="8" spans="1:1" x14ac:dyDescent="0.35">
      <c r="A8" t="s">
        <v>110</v>
      </c>
    </row>
    <row r="9" spans="1:1" x14ac:dyDescent="0.35">
      <c r="A9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Analysis</vt:lpstr>
      <vt:lpstr>Dashboard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Marapareddy Harshitha</cp:lastModifiedBy>
  <dcterms:created xsi:type="dcterms:W3CDTF">2026-10-14T06:13:55Z</dcterms:created>
  <dcterms:modified xsi:type="dcterms:W3CDTF">2026-10-14T07:23:58Z</dcterms:modified>
</cp:coreProperties>
</file>